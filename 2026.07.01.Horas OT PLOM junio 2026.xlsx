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nidades compartidas\INER Ltda\100.Formatos\"/>
    </mc:Choice>
  </mc:AlternateContent>
  <xr:revisionPtr revIDLastSave="0" documentId="8_{4E8B5BB5-0732-4573-BB8F-C4ABAF1C4A76}" xr6:coauthVersionLast="47" xr6:coauthVersionMax="47" xr10:uidLastSave="{00000000-0000-0000-0000-000000000000}"/>
  <bookViews>
    <workbookView xWindow="-108" yWindow="-108" windowWidth="23256" windowHeight="12456" activeTab="1" xr2:uid="{061B209D-2346-4B0F-BD1C-BD9F14686438}"/>
  </bookViews>
  <sheets>
    <sheet name="Hoja2" sheetId="4" r:id="rId1"/>
    <sheet name="Parque 1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3" i="4" l="1"/>
  <c r="G6" i="4"/>
  <c r="H6" i="4"/>
  <c r="I6" i="4"/>
  <c r="J6" i="4"/>
  <c r="K6" i="4"/>
  <c r="F6" i="4"/>
  <c r="G3" i="1"/>
  <c r="F3" i="1"/>
  <c r="E3" i="1"/>
  <c r="C3" i="1"/>
  <c r="D3" i="1" s="1"/>
  <c r="B3" i="1"/>
  <c r="H5" i="1"/>
  <c r="J60" i="1"/>
  <c r="J62" i="1"/>
  <c r="J12" i="1"/>
  <c r="J21" i="1"/>
  <c r="J24" i="1"/>
  <c r="J34" i="1"/>
  <c r="J42" i="1"/>
  <c r="J51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23" i="1"/>
  <c r="E24" i="1"/>
  <c r="E25" i="1"/>
  <c r="E26" i="1"/>
  <c r="E27" i="1"/>
  <c r="E28" i="1"/>
  <c r="E29" i="1"/>
  <c r="E30" i="1"/>
  <c r="E13" i="1"/>
  <c r="E14" i="1"/>
  <c r="E15" i="1"/>
  <c r="E16" i="1"/>
  <c r="E17" i="1"/>
  <c r="E18" i="1"/>
  <c r="E19" i="1"/>
  <c r="E20" i="1"/>
  <c r="E21" i="1"/>
  <c r="E6" i="1"/>
  <c r="E7" i="1"/>
  <c r="E8" i="1"/>
  <c r="E9" i="1"/>
  <c r="E10" i="1"/>
  <c r="E11" i="1"/>
  <c r="E12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tc={2E1DEB26-2A26-4037-96C5-9A79564D40D1}</author>
  </authors>
  <commentList>
    <comment ref="E4" authorId="0" shapeId="0" xr:uid="{2E1DEB26-2A26-4037-96C5-9A79564D40D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Activar Color Amarillo sobre 30 amarilla y sobre 1 hr roja</t>
      </text>
    </comment>
  </commentList>
</comments>
</file>

<file path=xl/sharedStrings.xml><?xml version="1.0" encoding="utf-8"?>
<sst xmlns="http://schemas.openxmlformats.org/spreadsheetml/2006/main" count="46" uniqueCount="32">
  <si>
    <t>Fecha</t>
  </si>
  <si>
    <t>WTG</t>
  </si>
  <si>
    <t>Esfuerzos Inicio</t>
  </si>
  <si>
    <t>Esfuerzo final</t>
  </si>
  <si>
    <t>Traslado</t>
  </si>
  <si>
    <t>Parada de aero</t>
  </si>
  <si>
    <t>Inicio Aero</t>
  </si>
  <si>
    <t>Salida de parque</t>
  </si>
  <si>
    <t>Termino de jornada</t>
  </si>
  <si>
    <t>Tiempo</t>
  </si>
  <si>
    <t>Poca Luz</t>
  </si>
  <si>
    <t>Viento Alto</t>
  </si>
  <si>
    <t>Observacion</t>
  </si>
  <si>
    <t>Induccion</t>
  </si>
  <si>
    <t>Programacion</t>
  </si>
  <si>
    <t>Problemas con programacion</t>
  </si>
  <si>
    <t>Dia Standby</t>
  </si>
  <si>
    <t>Cant de WTG</t>
  </si>
  <si>
    <t>Fecha de Inicio</t>
  </si>
  <si>
    <t xml:space="preserve">Fecha de Término </t>
  </si>
  <si>
    <t xml:space="preserve">Dias Trabajados </t>
  </si>
  <si>
    <t xml:space="preserve">WTG </t>
  </si>
  <si>
    <t xml:space="preserve">Parque </t>
  </si>
  <si>
    <t xml:space="preserve">PUNTA LOMITAS </t>
  </si>
  <si>
    <t xml:space="preserve">Prom Diario </t>
  </si>
  <si>
    <t>Stand by</t>
  </si>
  <si>
    <t xml:space="preserve">RESUMEN </t>
  </si>
  <si>
    <t>N°</t>
  </si>
  <si>
    <t xml:space="preserve">Año </t>
  </si>
  <si>
    <t>Total</t>
  </si>
  <si>
    <t>Mes</t>
  </si>
  <si>
    <t xml:space="preserve">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</si>
</sst>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4" xfId="0" applyBorder="1"/>
    <xf numFmtId="20" fontId="0" fillId="0" borderId="4" xfId="0" applyNumberFormat="1" applyBorder="1"/>
    <xf numFmtId="0" fontId="0" fillId="0" borderId="3" xfId="0" applyBorder="1"/>
    <xf numFmtId="20" fontId="0" fillId="0" borderId="3" xfId="0" applyNumberFormat="1" applyBorder="1"/>
    <xf numFmtId="20" fontId="0" fillId="0" borderId="7" xfId="0" applyNumberFormat="1" applyBorder="1"/>
    <xf numFmtId="0" fontId="0" fillId="0" borderId="8" xfId="0" applyBorder="1"/>
    <xf numFmtId="20" fontId="0" fillId="0" borderId="8" xfId="0" applyNumberFormat="1" applyBorder="1"/>
    <xf numFmtId="20" fontId="0" fillId="0" borderId="0" xfId="0" applyNumberFormat="1"/>
    <xf numFmtId="20" fontId="0" fillId="0" borderId="9" xfId="0" applyNumberFormat="1" applyBorder="1"/>
    <xf numFmtId="14" fontId="0" fillId="0" borderId="10" xfId="0" applyNumberFormat="1" applyBorder="1" applyAlignment="1">
      <alignment horizontal="center" vertical="center"/>
    </xf>
    <xf numFmtId="0" fontId="0" fillId="0" borderId="11" xfId="0" applyBorder="1"/>
    <xf numFmtId="20" fontId="0" fillId="0" borderId="11" xfId="0" applyNumberFormat="1" applyBorder="1"/>
    <xf numFmtId="20" fontId="0" fillId="0" borderId="12" xfId="0" applyNumberFormat="1" applyBorder="1"/>
    <xf numFmtId="20" fontId="0" fillId="0" borderId="13" xfId="0" applyNumberFormat="1" applyBorder="1"/>
    <xf numFmtId="0" fontId="0" fillId="2" borderId="1" xfId="0" applyFill="1" applyBorder="1"/>
    <xf numFmtId="20" fontId="0" fillId="3" borderId="4" xfId="0" applyNumberFormat="1" applyFill="1" applyBorder="1"/>
    <xf numFmtId="20" fontId="0" fillId="3" borderId="1" xfId="0" applyNumberFormat="1" applyFill="1" applyBorder="1"/>
    <xf numFmtId="20" fontId="0" fillId="3" borderId="3" xfId="0" applyNumberFormat="1" applyFill="1" applyBorder="1"/>
    <xf numFmtId="20" fontId="0" fillId="3" borderId="8" xfId="0" applyNumberFormat="1" applyFill="1" applyBorder="1"/>
    <xf numFmtId="20" fontId="0" fillId="3" borderId="11" xfId="0" applyNumberFormat="1" applyFill="1" applyBorder="1"/>
    <xf numFmtId="1" fontId="0" fillId="0" borderId="13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20" fontId="0" fillId="4" borderId="1" xfId="0" applyNumberFormat="1" applyFill="1" applyBorder="1"/>
    <xf numFmtId="20" fontId="0" fillId="4" borderId="4" xfId="0" applyNumberForma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/>
    </xf>
    <xf numFmtId="41" fontId="2" fillId="5" borderId="0" xfId="1" applyFont="1" applyFill="1" applyAlignment="1">
      <alignment horizontal="center"/>
    </xf>
    <xf numFmtId="41" fontId="2" fillId="5" borderId="0" xfId="0" applyNumberFormat="1" applyFont="1" applyFill="1" applyAlignment="1">
      <alignment horizontal="center"/>
    </xf>
    <xf numFmtId="20" fontId="2" fillId="5" borderId="0" xfId="0" applyNumberFormat="1" applyFont="1" applyFill="1" applyAlignment="1">
      <alignment horizontal="center"/>
    </xf>
    <xf numFmtId="0" fontId="2" fillId="0" borderId="0" xfId="0" applyFont="1" applyAlignment="1"/>
  </cellXfs>
  <cellStyles count="2">
    <cellStyle name="Millares [0]" xfId="1" builtinId="6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olas Caballero" id="{D05174CD-89E9-451E-A495-42EA15E8F4B1}" userId="781a22ed39e9fb75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0EF04-BBFD-4B15-B5A3-4540E11E6213}" name="Tabla1" displayName="Tabla1" ref="B5:K23" totalsRowCount="1" headerRowDxfId="0">
  <autoFilter ref="B5:K22" xr:uid="{88D0EF04-BBFD-4B15-B5A3-4540E11E6213}"/>
  <tableColumns count="10">
    <tableColumn id="1" xr3:uid="{5D89F9C5-2D93-434D-8F41-29BA30A0C4AE}" name="N°" totalsRowLabel="Total"/>
    <tableColumn id="2" xr3:uid="{3DCB9476-8FC3-40B0-9757-1221B6E6CE45}" name="Parque "/>
    <tableColumn id="11" xr3:uid="{4D1A3766-4688-493D-8AF8-7054ACFCE4ED}" name="Mes"/>
    <tableColumn id="3" xr3:uid="{E6C5C861-EA8D-42BD-BD6D-71D2FF7C0B75}" name="Año "/>
    <tableColumn id="4" xr3:uid="{A4349682-C54D-4511-9F2D-6B421FA88E3E}" name="Fecha de Inicio"/>
    <tableColumn id="5" xr3:uid="{31803303-220F-4B46-9EEF-2D67BEE67CCE}" name="Fecha de Término "/>
    <tableColumn id="6" xr3:uid="{4953B317-27F1-4C42-8EA5-C82B30DDFFBA}" name="Dias Trabajados "/>
    <tableColumn id="7" xr3:uid="{C3075A55-5147-446D-A9EF-E34CB9288DC4}" name="WTG "/>
    <tableColumn id="8" xr3:uid="{FB6F9EDB-C265-4F15-9C48-987F9C14D830}" name="Prom Diario "/>
    <tableColumn id="9" xr3:uid="{C386AFC0-94AE-4925-A807-88730EA70189}" name="Stand by" totalsRowFunction="coun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6-07-01T16:39:54.49" personId="{D05174CD-89E9-451E-A495-42EA15E8F4B1}" id="{2E1DEB26-2A26-4037-96C5-9A79564D40D1}">
    <text>Activar Color Amarillo sobre 30 amarilla y sobre 1 hr roja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E72B-8439-4E23-9EE2-0A17F0C74A3D}">
  <dimension ref="B2:K23"/>
  <sheetViews>
    <sheetView workbookViewId="0">
      <selection activeCell="D15" sqref="D15"/>
    </sheetView>
  </sheetViews>
  <sheetFormatPr baseColWidth="10" defaultRowHeight="14.4" x14ac:dyDescent="0.3"/>
  <cols>
    <col min="3" max="4" width="12.77734375" customWidth="1"/>
    <col min="6" max="6" width="13.33203125" customWidth="1"/>
    <col min="7" max="7" width="15.5546875" customWidth="1"/>
    <col min="8" max="8" width="14.21875" customWidth="1"/>
  </cols>
  <sheetData>
    <row r="2" spans="2:11" x14ac:dyDescent="0.3">
      <c r="B2" t="s">
        <v>26</v>
      </c>
    </row>
    <row r="4" spans="2:11" x14ac:dyDescent="0.3">
      <c r="H4" s="43"/>
      <c r="I4" s="35"/>
      <c r="J4" s="35"/>
      <c r="K4" s="35"/>
    </row>
    <row r="5" spans="2:11" x14ac:dyDescent="0.3">
      <c r="B5" t="s">
        <v>27</v>
      </c>
      <c r="C5" s="35" t="s">
        <v>22</v>
      </c>
      <c r="D5" s="35" t="s">
        <v>30</v>
      </c>
      <c r="E5" s="35" t="s">
        <v>28</v>
      </c>
      <c r="F5" s="38" t="s">
        <v>18</v>
      </c>
      <c r="G5" s="38" t="s">
        <v>19</v>
      </c>
      <c r="H5" s="38" t="s">
        <v>20</v>
      </c>
      <c r="I5" s="38" t="s">
        <v>21</v>
      </c>
      <c r="J5" s="38" t="s">
        <v>24</v>
      </c>
      <c r="K5" s="38" t="s">
        <v>25</v>
      </c>
    </row>
    <row r="6" spans="2:11" x14ac:dyDescent="0.3">
      <c r="B6">
        <v>1</v>
      </c>
      <c r="C6" s="43" t="s">
        <v>23</v>
      </c>
      <c r="D6" s="43" t="s">
        <v>31</v>
      </c>
      <c r="E6" s="43">
        <v>2026</v>
      </c>
      <c r="F6" s="39">
        <f>+'Parque 1 '!B3</f>
        <v>46181</v>
      </c>
      <c r="G6" s="39">
        <f>+'Parque 1 '!C3</f>
        <v>46189</v>
      </c>
      <c r="H6" s="40">
        <f>+'Parque 1 '!D3</f>
        <v>8</v>
      </c>
      <c r="I6" s="40">
        <f>+'Parque 1 '!E3</f>
        <v>58</v>
      </c>
      <c r="J6" s="40">
        <f>+'Parque 1 '!F3</f>
        <v>7.25</v>
      </c>
      <c r="K6" s="39">
        <f>+'Parque 1 '!G3</f>
        <v>1.1687500000000002</v>
      </c>
    </row>
    <row r="7" spans="2:11" x14ac:dyDescent="0.3">
      <c r="B7">
        <v>2</v>
      </c>
    </row>
    <row r="8" spans="2:11" x14ac:dyDescent="0.3">
      <c r="B8">
        <v>3</v>
      </c>
    </row>
    <row r="9" spans="2:11" x14ac:dyDescent="0.3">
      <c r="B9">
        <v>4</v>
      </c>
    </row>
    <row r="10" spans="2:11" x14ac:dyDescent="0.3">
      <c r="B10">
        <v>5</v>
      </c>
    </row>
    <row r="11" spans="2:11" x14ac:dyDescent="0.3">
      <c r="B11">
        <v>6</v>
      </c>
    </row>
    <row r="12" spans="2:11" x14ac:dyDescent="0.3">
      <c r="B12">
        <v>7</v>
      </c>
    </row>
    <row r="13" spans="2:11" x14ac:dyDescent="0.3">
      <c r="B13">
        <v>8</v>
      </c>
    </row>
    <row r="14" spans="2:11" x14ac:dyDescent="0.3">
      <c r="B14">
        <v>9</v>
      </c>
    </row>
    <row r="15" spans="2:11" x14ac:dyDescent="0.3">
      <c r="B15">
        <v>10</v>
      </c>
    </row>
    <row r="16" spans="2:11" x14ac:dyDescent="0.3">
      <c r="B16">
        <v>11</v>
      </c>
    </row>
    <row r="17" spans="2:11" x14ac:dyDescent="0.3">
      <c r="B17">
        <v>12</v>
      </c>
    </row>
    <row r="18" spans="2:11" x14ac:dyDescent="0.3">
      <c r="B18">
        <v>13</v>
      </c>
    </row>
    <row r="19" spans="2:11" x14ac:dyDescent="0.3">
      <c r="B19">
        <v>14</v>
      </c>
    </row>
    <row r="20" spans="2:11" x14ac:dyDescent="0.3">
      <c r="B20">
        <v>15</v>
      </c>
    </row>
    <row r="23" spans="2:11" x14ac:dyDescent="0.3">
      <c r="B23" t="s">
        <v>29</v>
      </c>
      <c r="K23">
        <f>SUBTOTAL(103,Tabla1[Stand by])</f>
        <v>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1DD4-667B-4C62-8123-E88673240225}">
  <dimension ref="A1:L62"/>
  <sheetViews>
    <sheetView tabSelected="1" zoomScaleNormal="100" workbookViewId="0">
      <selection activeCell="A5" sqref="A5:K22"/>
    </sheetView>
  </sheetViews>
  <sheetFormatPr baseColWidth="10" defaultRowHeight="14.4" x14ac:dyDescent="0.3"/>
  <cols>
    <col min="2" max="2" width="11.5546875" bestFit="1" customWidth="1"/>
    <col min="3" max="3" width="9.6640625" customWidth="1"/>
    <col min="4" max="4" width="13.44140625" bestFit="1" customWidth="1"/>
    <col min="6" max="6" width="13.109375" bestFit="1" customWidth="1"/>
    <col min="8" max="8" width="9.44140625" bestFit="1" customWidth="1"/>
    <col min="9" max="9" width="14.21875" bestFit="1" customWidth="1"/>
    <col min="10" max="10" width="9.44140625" customWidth="1"/>
    <col min="11" max="11" width="24.77734375" bestFit="1" customWidth="1"/>
  </cols>
  <sheetData>
    <row r="1" spans="1:11" s="35" customFormat="1" ht="12" x14ac:dyDescent="0.25">
      <c r="B1" s="35" t="s">
        <v>22</v>
      </c>
      <c r="C1" s="36" t="s">
        <v>23</v>
      </c>
      <c r="D1" s="36"/>
    </row>
    <row r="2" spans="1:11" s="37" customFormat="1" ht="24" x14ac:dyDescent="0.3">
      <c r="B2" s="38" t="s">
        <v>18</v>
      </c>
      <c r="C2" s="38" t="s">
        <v>19</v>
      </c>
      <c r="D2" s="38" t="s">
        <v>20</v>
      </c>
      <c r="E2" s="38" t="s">
        <v>21</v>
      </c>
      <c r="F2" s="38" t="s">
        <v>24</v>
      </c>
      <c r="G2" s="38" t="s">
        <v>25</v>
      </c>
    </row>
    <row r="3" spans="1:11" s="35" customFormat="1" ht="12" x14ac:dyDescent="0.25">
      <c r="B3" s="39">
        <f>+A5</f>
        <v>46181</v>
      </c>
      <c r="C3" s="39">
        <f>+A61</f>
        <v>46189</v>
      </c>
      <c r="D3" s="40">
        <f>+C3-B3</f>
        <v>8</v>
      </c>
      <c r="E3" s="40">
        <f>COUNT(C5:C62)</f>
        <v>58</v>
      </c>
      <c r="F3" s="41">
        <f>+E3/D3</f>
        <v>7.25</v>
      </c>
      <c r="G3" s="42">
        <f>SUM(J5:J62)</f>
        <v>1.1687500000000002</v>
      </c>
    </row>
    <row r="4" spans="1:11" x14ac:dyDescent="0.3">
      <c r="A4" s="17" t="s">
        <v>0</v>
      </c>
      <c r="B4" s="17" t="s">
        <v>17</v>
      </c>
      <c r="C4" s="17" t="s">
        <v>1</v>
      </c>
      <c r="D4" s="17" t="s">
        <v>2</v>
      </c>
      <c r="E4" s="17" t="s">
        <v>4</v>
      </c>
      <c r="F4" s="17" t="s">
        <v>5</v>
      </c>
      <c r="G4" s="17" t="s">
        <v>3</v>
      </c>
      <c r="H4" s="17" t="s">
        <v>6</v>
      </c>
      <c r="I4" s="17" t="s">
        <v>7</v>
      </c>
      <c r="J4" s="17" t="s">
        <v>9</v>
      </c>
      <c r="K4" s="17" t="s">
        <v>12</v>
      </c>
    </row>
    <row r="5" spans="1:11" ht="15" thickBot="1" x14ac:dyDescent="0.35">
      <c r="A5" s="31">
        <v>46181</v>
      </c>
      <c r="B5" s="26">
        <v>8</v>
      </c>
      <c r="C5" s="3">
        <v>62</v>
      </c>
      <c r="D5" s="18">
        <v>0.33333333333333331</v>
      </c>
      <c r="E5" s="34">
        <f>F5-D5</f>
        <v>0.125</v>
      </c>
      <c r="F5" s="18">
        <v>0.45833333333333331</v>
      </c>
      <c r="G5" s="18">
        <v>0.4826388888888889</v>
      </c>
      <c r="H5" s="34">
        <f>+G5</f>
        <v>0.4826388888888889</v>
      </c>
      <c r="I5" s="4"/>
      <c r="J5" s="11"/>
      <c r="K5" s="4" t="s">
        <v>13</v>
      </c>
    </row>
    <row r="6" spans="1:11" ht="15" thickBot="1" x14ac:dyDescent="0.35">
      <c r="A6" s="31"/>
      <c r="B6" s="27"/>
      <c r="C6" s="1">
        <v>61</v>
      </c>
      <c r="D6" s="33">
        <v>0.4826388888888889</v>
      </c>
      <c r="E6" s="2">
        <f t="shared" ref="E6:E62" si="0">F6-D6</f>
        <v>6.9444444444444198E-3</v>
      </c>
      <c r="F6" s="19">
        <v>0.48958333333333331</v>
      </c>
      <c r="G6" s="19">
        <v>0.51180555555555551</v>
      </c>
      <c r="H6" s="2">
        <v>0.51180555555555551</v>
      </c>
      <c r="I6" s="2"/>
      <c r="J6" s="6"/>
      <c r="K6" s="2"/>
    </row>
    <row r="7" spans="1:11" ht="15" thickBot="1" x14ac:dyDescent="0.35">
      <c r="A7" s="31"/>
      <c r="B7" s="27"/>
      <c r="C7" s="1">
        <v>60</v>
      </c>
      <c r="D7" s="2">
        <v>0.51180555555555551</v>
      </c>
      <c r="E7" s="2">
        <f t="shared" si="0"/>
        <v>4.8611111111112049E-3</v>
      </c>
      <c r="F7" s="19">
        <v>0.51666666666666672</v>
      </c>
      <c r="G7" s="19">
        <v>0.5395833333333333</v>
      </c>
      <c r="H7" s="2">
        <v>0.5395833333333333</v>
      </c>
      <c r="I7" s="2"/>
      <c r="J7" s="6"/>
      <c r="K7" s="2"/>
    </row>
    <row r="8" spans="1:11" ht="15" thickBot="1" x14ac:dyDescent="0.35">
      <c r="A8" s="31"/>
      <c r="B8" s="27"/>
      <c r="C8" s="1">
        <v>58</v>
      </c>
      <c r="D8" s="2">
        <v>0.5395833333333333</v>
      </c>
      <c r="E8" s="2">
        <f t="shared" si="0"/>
        <v>6.9444444444444198E-3</v>
      </c>
      <c r="F8" s="19">
        <v>0.54652777777777772</v>
      </c>
      <c r="G8" s="19">
        <v>0.56874999999999998</v>
      </c>
      <c r="H8" s="2">
        <v>0.56874999999999998</v>
      </c>
      <c r="I8" s="2"/>
      <c r="J8" s="6"/>
      <c r="K8" s="2"/>
    </row>
    <row r="9" spans="1:11" ht="15" thickBot="1" x14ac:dyDescent="0.35">
      <c r="A9" s="31"/>
      <c r="B9" s="27"/>
      <c r="C9" s="1">
        <v>57</v>
      </c>
      <c r="D9" s="2">
        <v>0.56874999999999998</v>
      </c>
      <c r="E9" s="2">
        <f t="shared" si="0"/>
        <v>2.7777777777777679E-3</v>
      </c>
      <c r="F9" s="19">
        <v>0.57152777777777775</v>
      </c>
      <c r="G9" s="19">
        <v>0.59444444444444444</v>
      </c>
      <c r="H9" s="2">
        <v>0.59444444444444444</v>
      </c>
      <c r="I9" s="2"/>
      <c r="J9" s="6"/>
      <c r="K9" s="2"/>
    </row>
    <row r="10" spans="1:11" ht="15" thickBot="1" x14ac:dyDescent="0.35">
      <c r="A10" s="31"/>
      <c r="B10" s="27"/>
      <c r="C10" s="1">
        <v>56</v>
      </c>
      <c r="D10" s="2">
        <v>0.59444444444444444</v>
      </c>
      <c r="E10" s="2">
        <f t="shared" si="0"/>
        <v>5.5555555555555358E-3</v>
      </c>
      <c r="F10" s="19">
        <v>0.6</v>
      </c>
      <c r="G10" s="19">
        <v>0.62361111111111112</v>
      </c>
      <c r="H10" s="2">
        <v>0.62361111111111112</v>
      </c>
      <c r="I10" s="2"/>
      <c r="J10" s="6"/>
      <c r="K10" s="2"/>
    </row>
    <row r="11" spans="1:11" ht="15" thickBot="1" x14ac:dyDescent="0.35">
      <c r="A11" s="31"/>
      <c r="B11" s="27"/>
      <c r="C11" s="1">
        <v>55</v>
      </c>
      <c r="D11" s="2">
        <v>0.62361111111111112</v>
      </c>
      <c r="E11" s="2">
        <f t="shared" si="0"/>
        <v>4.8611111111110938E-3</v>
      </c>
      <c r="F11" s="19">
        <v>0.62847222222222221</v>
      </c>
      <c r="G11" s="19">
        <v>0.65416666666666667</v>
      </c>
      <c r="H11" s="2">
        <v>0.65416666666666667</v>
      </c>
      <c r="I11" s="2"/>
      <c r="J11" s="6"/>
      <c r="K11" s="2"/>
    </row>
    <row r="12" spans="1:11" ht="15" thickBot="1" x14ac:dyDescent="0.35">
      <c r="A12" s="32"/>
      <c r="B12" s="28"/>
      <c r="C12" s="5">
        <v>54</v>
      </c>
      <c r="D12" s="6">
        <v>0.65416666666666667</v>
      </c>
      <c r="E12" s="2">
        <f t="shared" si="0"/>
        <v>2.7777777777777679E-3</v>
      </c>
      <c r="F12" s="20">
        <v>0.65694444444444444</v>
      </c>
      <c r="G12" s="20">
        <v>0.68333333333333335</v>
      </c>
      <c r="H12" s="6">
        <v>0.68333333333333335</v>
      </c>
      <c r="I12" s="6">
        <v>0.70833333333333337</v>
      </c>
      <c r="J12" s="6">
        <f>I12-H12</f>
        <v>2.5000000000000022E-2</v>
      </c>
      <c r="K12" s="6" t="s">
        <v>10</v>
      </c>
    </row>
    <row r="13" spans="1:11" ht="15" thickBot="1" x14ac:dyDescent="0.35">
      <c r="A13" s="30">
        <v>46182</v>
      </c>
      <c r="B13" s="29">
        <v>9</v>
      </c>
      <c r="C13" s="3">
        <v>59</v>
      </c>
      <c r="D13" s="18">
        <v>0.33333333333333331</v>
      </c>
      <c r="E13" s="2">
        <f t="shared" si="0"/>
        <v>5.555555555555558E-2</v>
      </c>
      <c r="F13" s="18">
        <v>0.3888888888888889</v>
      </c>
      <c r="G13" s="18">
        <v>0.41249999999999998</v>
      </c>
      <c r="H13" s="4">
        <v>0.41249999999999998</v>
      </c>
      <c r="I13" s="4"/>
      <c r="J13" s="6"/>
      <c r="K13" s="4" t="s">
        <v>14</v>
      </c>
    </row>
    <row r="14" spans="1:11" ht="15" thickBot="1" x14ac:dyDescent="0.35">
      <c r="A14" s="31"/>
      <c r="B14" s="27"/>
      <c r="C14" s="1">
        <v>53</v>
      </c>
      <c r="D14" s="2">
        <v>0.41249999999999998</v>
      </c>
      <c r="E14" s="2">
        <f t="shared" si="0"/>
        <v>7.6388888888889173E-3</v>
      </c>
      <c r="F14" s="19">
        <v>0.4201388888888889</v>
      </c>
      <c r="G14" s="19">
        <v>0.44236111111111109</v>
      </c>
      <c r="H14" s="2">
        <v>0.44236111111111109</v>
      </c>
      <c r="I14" s="2"/>
      <c r="J14" s="6"/>
      <c r="K14" s="2"/>
    </row>
    <row r="15" spans="1:11" ht="15" thickBot="1" x14ac:dyDescent="0.35">
      <c r="A15" s="31"/>
      <c r="B15" s="27"/>
      <c r="C15" s="1">
        <v>52</v>
      </c>
      <c r="D15" s="2">
        <v>0.44236111111111109</v>
      </c>
      <c r="E15" s="2">
        <f t="shared" si="0"/>
        <v>4.1666666666667074E-3</v>
      </c>
      <c r="F15" s="19">
        <v>0.4465277777777778</v>
      </c>
      <c r="G15" s="19">
        <v>0.46805555555555556</v>
      </c>
      <c r="H15" s="2">
        <v>0.46805555555555556</v>
      </c>
      <c r="I15" s="2"/>
      <c r="J15" s="6"/>
      <c r="K15" s="2"/>
    </row>
    <row r="16" spans="1:11" ht="15" thickBot="1" x14ac:dyDescent="0.35">
      <c r="A16" s="31"/>
      <c r="B16" s="27"/>
      <c r="C16" s="1">
        <v>51</v>
      </c>
      <c r="D16" s="2">
        <v>0.46805555555555556</v>
      </c>
      <c r="E16" s="2">
        <f t="shared" si="0"/>
        <v>3.4722222222222099E-3</v>
      </c>
      <c r="F16" s="19">
        <v>0.47152777777777777</v>
      </c>
      <c r="G16" s="19">
        <v>0.49583333333333335</v>
      </c>
      <c r="H16" s="2">
        <v>0.49583333333333335</v>
      </c>
      <c r="I16" s="2"/>
      <c r="J16" s="6"/>
      <c r="K16" s="2"/>
    </row>
    <row r="17" spans="1:12" ht="15" thickBot="1" x14ac:dyDescent="0.35">
      <c r="A17" s="31"/>
      <c r="B17" s="27"/>
      <c r="C17" s="1">
        <v>50</v>
      </c>
      <c r="D17" s="2">
        <v>0.49583333333333335</v>
      </c>
      <c r="E17" s="2">
        <f t="shared" si="0"/>
        <v>4.1666666666666519E-3</v>
      </c>
      <c r="F17" s="19">
        <v>0.5</v>
      </c>
      <c r="G17" s="19">
        <v>0.5229166666666667</v>
      </c>
      <c r="H17" s="2">
        <v>0.5229166666666667</v>
      </c>
      <c r="I17" s="2"/>
      <c r="J17" s="6"/>
      <c r="K17" s="2"/>
    </row>
    <row r="18" spans="1:12" ht="15" thickBot="1" x14ac:dyDescent="0.35">
      <c r="A18" s="31"/>
      <c r="B18" s="27"/>
      <c r="C18" s="1">
        <v>47</v>
      </c>
      <c r="D18" s="2">
        <v>0.5229166666666667</v>
      </c>
      <c r="E18" s="2">
        <f t="shared" si="0"/>
        <v>6.2499999999999778E-3</v>
      </c>
      <c r="F18" s="19">
        <v>0.52916666666666667</v>
      </c>
      <c r="G18" s="19">
        <v>0.5541666666666667</v>
      </c>
      <c r="H18" s="2">
        <v>0.5541666666666667</v>
      </c>
      <c r="I18" s="2"/>
      <c r="J18" s="6"/>
      <c r="K18" s="2"/>
    </row>
    <row r="19" spans="1:12" ht="15" thickBot="1" x14ac:dyDescent="0.35">
      <c r="A19" s="31"/>
      <c r="B19" s="27"/>
      <c r="C19" s="1">
        <v>46</v>
      </c>
      <c r="D19" s="2">
        <v>0.5541666666666667</v>
      </c>
      <c r="E19" s="2">
        <f t="shared" si="0"/>
        <v>2.7777777777777679E-3</v>
      </c>
      <c r="F19" s="19">
        <v>0.55694444444444446</v>
      </c>
      <c r="G19" s="19">
        <v>0.58263888888888893</v>
      </c>
      <c r="H19" s="2">
        <v>0.58263888888888893</v>
      </c>
      <c r="I19" s="2"/>
      <c r="J19" s="6"/>
      <c r="K19" s="2"/>
    </row>
    <row r="20" spans="1:12" ht="15" thickBot="1" x14ac:dyDescent="0.35">
      <c r="A20" s="31"/>
      <c r="B20" s="27"/>
      <c r="C20" s="1">
        <v>45</v>
      </c>
      <c r="D20" s="2">
        <v>0.58263888888888893</v>
      </c>
      <c r="E20" s="2">
        <f t="shared" si="0"/>
        <v>3.4722222222222099E-3</v>
      </c>
      <c r="F20" s="19">
        <v>0.58611111111111114</v>
      </c>
      <c r="G20" s="19">
        <v>0.61319444444444449</v>
      </c>
      <c r="H20" s="2">
        <v>0.61319444444444449</v>
      </c>
      <c r="I20" s="2"/>
      <c r="J20" s="6"/>
      <c r="K20" s="2"/>
    </row>
    <row r="21" spans="1:12" ht="15" thickBot="1" x14ac:dyDescent="0.35">
      <c r="A21" s="31"/>
      <c r="B21" s="28"/>
      <c r="C21" s="8">
        <v>22</v>
      </c>
      <c r="D21" s="9">
        <v>0.61319444444444449</v>
      </c>
      <c r="E21" s="9">
        <f t="shared" si="0"/>
        <v>5.5555555555555358E-3</v>
      </c>
      <c r="F21" s="21">
        <v>0.61875000000000002</v>
      </c>
      <c r="G21" s="21">
        <v>0.64375000000000004</v>
      </c>
      <c r="H21" s="9">
        <v>0.64375000000000004</v>
      </c>
      <c r="I21" s="9">
        <v>0.70833333333333337</v>
      </c>
      <c r="J21" s="9">
        <f>I21-H21</f>
        <v>6.4583333333333326E-2</v>
      </c>
      <c r="K21" s="9" t="s">
        <v>10</v>
      </c>
      <c r="L21" s="7"/>
    </row>
    <row r="22" spans="1:12" ht="15" thickBot="1" x14ac:dyDescent="0.35">
      <c r="A22" s="12">
        <v>46184</v>
      </c>
      <c r="B22" s="23"/>
      <c r="C22" s="13">
        <v>0</v>
      </c>
      <c r="D22" s="14">
        <v>0</v>
      </c>
      <c r="E22" s="14">
        <v>0</v>
      </c>
      <c r="F22" s="22">
        <v>0</v>
      </c>
      <c r="G22" s="22">
        <v>0</v>
      </c>
      <c r="H22" s="14">
        <v>0</v>
      </c>
      <c r="I22" s="16"/>
      <c r="J22" s="14">
        <v>0.33333333333333331</v>
      </c>
      <c r="K22" s="15" t="s">
        <v>16</v>
      </c>
      <c r="L22" s="10"/>
    </row>
    <row r="23" spans="1:12" ht="15" thickBot="1" x14ac:dyDescent="0.35">
      <c r="A23" s="31">
        <v>46183</v>
      </c>
      <c r="B23" s="24"/>
      <c r="C23" s="3">
        <v>3</v>
      </c>
      <c r="D23" s="18">
        <v>0.33333333333333331</v>
      </c>
      <c r="E23" s="4">
        <f t="shared" si="0"/>
        <v>5.4861111111111138E-2</v>
      </c>
      <c r="F23" s="18">
        <v>0.38819444444444445</v>
      </c>
      <c r="G23" s="18">
        <v>0.41041666666666665</v>
      </c>
      <c r="H23" s="4">
        <v>0.41041666666666665</v>
      </c>
      <c r="I23" s="4"/>
      <c r="J23" s="11"/>
      <c r="K23" s="4" t="s">
        <v>15</v>
      </c>
    </row>
    <row r="24" spans="1:12" ht="15" thickBot="1" x14ac:dyDescent="0.35">
      <c r="A24" s="32"/>
      <c r="B24" s="25"/>
      <c r="C24" s="5">
        <v>4</v>
      </c>
      <c r="D24" s="6">
        <v>0.41041666666666665</v>
      </c>
      <c r="E24" s="2">
        <f t="shared" si="0"/>
        <v>4.1666666666667074E-3</v>
      </c>
      <c r="F24" s="20">
        <v>0.41458333333333336</v>
      </c>
      <c r="G24" s="20">
        <v>0.43888888888888888</v>
      </c>
      <c r="H24" s="6">
        <v>0.43888888888888888</v>
      </c>
      <c r="I24" s="6">
        <v>0.70833333333333337</v>
      </c>
      <c r="J24" s="6">
        <f>I24-H24</f>
        <v>0.26944444444444449</v>
      </c>
      <c r="K24" s="6" t="s">
        <v>11</v>
      </c>
    </row>
    <row r="25" spans="1:12" ht="15" thickBot="1" x14ac:dyDescent="0.35">
      <c r="A25" s="30">
        <v>46185</v>
      </c>
      <c r="B25" s="24"/>
      <c r="C25" s="3">
        <v>44</v>
      </c>
      <c r="D25" s="18">
        <v>0.33333333333333331</v>
      </c>
      <c r="E25" s="2">
        <f t="shared" si="0"/>
        <v>2.3611111111111138E-2</v>
      </c>
      <c r="F25" s="18">
        <v>0.35694444444444445</v>
      </c>
      <c r="G25" s="18">
        <v>0.37986111111111109</v>
      </c>
      <c r="H25" s="4">
        <v>0.37986111111111109</v>
      </c>
      <c r="I25" s="4"/>
      <c r="J25" s="6"/>
      <c r="K25" s="4"/>
    </row>
    <row r="26" spans="1:12" ht="15" thickBot="1" x14ac:dyDescent="0.35">
      <c r="A26" s="31"/>
      <c r="B26" s="24"/>
      <c r="C26" s="1">
        <v>43</v>
      </c>
      <c r="D26" s="2">
        <v>0.37986111111111109</v>
      </c>
      <c r="E26" s="2">
        <f t="shared" si="0"/>
        <v>2.0833333333333259E-3</v>
      </c>
      <c r="F26" s="19">
        <v>0.38194444444444442</v>
      </c>
      <c r="G26" s="19">
        <v>0.40486111111111112</v>
      </c>
      <c r="H26" s="2">
        <v>0.40486111111111112</v>
      </c>
      <c r="I26" s="2"/>
      <c r="J26" s="6"/>
      <c r="K26" s="2"/>
    </row>
    <row r="27" spans="1:12" ht="15" thickBot="1" x14ac:dyDescent="0.35">
      <c r="A27" s="31"/>
      <c r="B27" s="24"/>
      <c r="C27" s="1">
        <v>42</v>
      </c>
      <c r="D27" s="2">
        <v>0.40486111111111112</v>
      </c>
      <c r="E27" s="2">
        <f t="shared" si="0"/>
        <v>2.7777777777777679E-3</v>
      </c>
      <c r="F27" s="19">
        <v>0.40763888888888888</v>
      </c>
      <c r="G27" s="19">
        <v>0.43611111111111112</v>
      </c>
      <c r="H27" s="2">
        <v>0.43611111111111112</v>
      </c>
      <c r="I27" s="2"/>
      <c r="J27" s="6"/>
      <c r="K27" s="2"/>
    </row>
    <row r="28" spans="1:12" ht="15" thickBot="1" x14ac:dyDescent="0.35">
      <c r="A28" s="31"/>
      <c r="B28" s="24"/>
      <c r="C28" s="1">
        <v>41</v>
      </c>
      <c r="D28" s="2">
        <v>0.43611111111111112</v>
      </c>
      <c r="E28" s="2">
        <f t="shared" si="0"/>
        <v>4.1666666666666519E-3</v>
      </c>
      <c r="F28" s="19">
        <v>0.44027777777777777</v>
      </c>
      <c r="G28" s="19">
        <v>0.46458333333333335</v>
      </c>
      <c r="H28" s="2">
        <v>0.46458333333333335</v>
      </c>
      <c r="I28" s="2"/>
      <c r="J28" s="6"/>
      <c r="K28" s="2"/>
    </row>
    <row r="29" spans="1:12" ht="15" thickBot="1" x14ac:dyDescent="0.35">
      <c r="A29" s="31"/>
      <c r="B29" s="24"/>
      <c r="C29" s="1">
        <v>40</v>
      </c>
      <c r="D29" s="2">
        <v>0.46458333333333335</v>
      </c>
      <c r="E29" s="2">
        <f t="shared" si="0"/>
        <v>3.4722222222222099E-3</v>
      </c>
      <c r="F29" s="19">
        <v>0.46805555555555556</v>
      </c>
      <c r="G29" s="19">
        <v>0.4909722222222222</v>
      </c>
      <c r="H29" s="2">
        <v>0.4909722222222222</v>
      </c>
      <c r="I29" s="2"/>
      <c r="J29" s="6"/>
      <c r="K29" s="2"/>
    </row>
    <row r="30" spans="1:12" ht="15" thickBot="1" x14ac:dyDescent="0.35">
      <c r="A30" s="31"/>
      <c r="B30" s="24"/>
      <c r="C30" s="1">
        <v>39</v>
      </c>
      <c r="D30" s="2">
        <v>0.4909722222222222</v>
      </c>
      <c r="E30" s="2">
        <f t="shared" si="0"/>
        <v>3.4722222222222654E-3</v>
      </c>
      <c r="F30" s="19">
        <v>0.49444444444444446</v>
      </c>
      <c r="G30" s="19">
        <v>0.51875000000000004</v>
      </c>
      <c r="H30" s="2">
        <v>0.51875000000000004</v>
      </c>
      <c r="I30" s="2"/>
      <c r="J30" s="6"/>
      <c r="K30" s="2"/>
    </row>
    <row r="31" spans="1:12" ht="15" thickBot="1" x14ac:dyDescent="0.35">
      <c r="A31" s="31"/>
      <c r="B31" s="24"/>
      <c r="C31" s="1">
        <v>38</v>
      </c>
      <c r="D31" s="2">
        <v>0.51875000000000004</v>
      </c>
      <c r="E31" s="2">
        <f t="shared" si="0"/>
        <v>2.7777777777777679E-3</v>
      </c>
      <c r="F31" s="19">
        <v>0.52152777777777781</v>
      </c>
      <c r="G31" s="19">
        <v>0.57638888888888884</v>
      </c>
      <c r="H31" s="2">
        <v>0.57638888888888884</v>
      </c>
      <c r="I31" s="2"/>
      <c r="J31" s="6"/>
      <c r="K31" s="2"/>
    </row>
    <row r="32" spans="1:12" ht="15" thickBot="1" x14ac:dyDescent="0.35">
      <c r="A32" s="31"/>
      <c r="B32" s="24"/>
      <c r="C32" s="1">
        <v>37</v>
      </c>
      <c r="D32" s="2">
        <v>0.57638888888888884</v>
      </c>
      <c r="E32" s="2">
        <f t="shared" si="0"/>
        <v>2.7777777777778789E-3</v>
      </c>
      <c r="F32" s="19">
        <v>0.57916666666666672</v>
      </c>
      <c r="G32" s="19">
        <v>0.60138888888888886</v>
      </c>
      <c r="H32" s="2">
        <v>0.60138888888888886</v>
      </c>
      <c r="I32" s="2"/>
      <c r="J32" s="6"/>
      <c r="K32" s="2"/>
    </row>
    <row r="33" spans="1:11" ht="15" thickBot="1" x14ac:dyDescent="0.35">
      <c r="A33" s="31"/>
      <c r="B33" s="24"/>
      <c r="C33" s="1">
        <v>36</v>
      </c>
      <c r="D33" s="2">
        <v>0.60138888888888886</v>
      </c>
      <c r="E33" s="2">
        <f t="shared" si="0"/>
        <v>2.7777777777777679E-3</v>
      </c>
      <c r="F33" s="19">
        <v>0.60416666666666663</v>
      </c>
      <c r="G33" s="19">
        <v>0.62708333333333333</v>
      </c>
      <c r="H33" s="2">
        <v>0.62708333333333333</v>
      </c>
      <c r="I33" s="2"/>
      <c r="J33" s="6"/>
      <c r="K33" s="2"/>
    </row>
    <row r="34" spans="1:11" ht="15" thickBot="1" x14ac:dyDescent="0.35">
      <c r="A34" s="32"/>
      <c r="B34" s="25"/>
      <c r="C34" s="5">
        <v>35</v>
      </c>
      <c r="D34" s="6">
        <v>0.62708333333333333</v>
      </c>
      <c r="E34" s="2">
        <f t="shared" si="0"/>
        <v>3.4722222222222099E-3</v>
      </c>
      <c r="F34" s="20">
        <v>0.63055555555555554</v>
      </c>
      <c r="G34" s="20">
        <v>0.65555555555555556</v>
      </c>
      <c r="H34" s="6">
        <v>0.65555555555555556</v>
      </c>
      <c r="I34" s="6">
        <v>0.70833333333333337</v>
      </c>
      <c r="J34" s="6">
        <f>I34-H34</f>
        <v>5.2777777777777812E-2</v>
      </c>
      <c r="K34" s="6" t="s">
        <v>10</v>
      </c>
    </row>
    <row r="35" spans="1:11" ht="15" thickBot="1" x14ac:dyDescent="0.35">
      <c r="A35" s="30">
        <v>46186</v>
      </c>
      <c r="B35" s="24"/>
      <c r="C35" s="3">
        <v>34</v>
      </c>
      <c r="D35" s="4">
        <v>0.33333333333333331</v>
      </c>
      <c r="E35" s="2">
        <f t="shared" si="0"/>
        <v>2.5000000000000022E-2</v>
      </c>
      <c r="F35" s="18">
        <v>0.35833333333333334</v>
      </c>
      <c r="G35" s="18">
        <v>0.38055555555555554</v>
      </c>
      <c r="H35" s="4">
        <v>0.38055555555555554</v>
      </c>
      <c r="I35" s="4"/>
      <c r="J35" s="6"/>
      <c r="K35" s="4"/>
    </row>
    <row r="36" spans="1:11" ht="15" thickBot="1" x14ac:dyDescent="0.35">
      <c r="A36" s="31"/>
      <c r="B36" s="24"/>
      <c r="C36" s="1">
        <v>33</v>
      </c>
      <c r="D36" s="2">
        <v>0.38055555555555554</v>
      </c>
      <c r="E36" s="2">
        <f t="shared" si="0"/>
        <v>3.4722222222222654E-3</v>
      </c>
      <c r="F36" s="19">
        <v>0.3840277777777778</v>
      </c>
      <c r="G36" s="19">
        <v>0.40763888888888888</v>
      </c>
      <c r="H36" s="2">
        <v>0.40763888888888888</v>
      </c>
      <c r="I36" s="2"/>
      <c r="J36" s="6"/>
      <c r="K36" s="2"/>
    </row>
    <row r="37" spans="1:11" ht="15" thickBot="1" x14ac:dyDescent="0.35">
      <c r="A37" s="31"/>
      <c r="B37" s="24"/>
      <c r="C37" s="1">
        <v>32</v>
      </c>
      <c r="D37" s="2">
        <v>0.40763888888888888</v>
      </c>
      <c r="E37" s="2">
        <f t="shared" si="0"/>
        <v>4.1666666666666519E-3</v>
      </c>
      <c r="F37" s="19">
        <v>0.41180555555555554</v>
      </c>
      <c r="G37" s="19">
        <v>0.43333333333333335</v>
      </c>
      <c r="H37" s="2">
        <v>0.43333333333333335</v>
      </c>
      <c r="I37" s="2"/>
      <c r="J37" s="6"/>
      <c r="K37" s="2"/>
    </row>
    <row r="38" spans="1:11" ht="15" thickBot="1" x14ac:dyDescent="0.35">
      <c r="A38" s="31"/>
      <c r="B38" s="24"/>
      <c r="C38" s="1">
        <v>31</v>
      </c>
      <c r="D38" s="2">
        <v>0.43333333333333335</v>
      </c>
      <c r="E38" s="2">
        <f t="shared" si="0"/>
        <v>2.7777777777777679E-3</v>
      </c>
      <c r="F38" s="19">
        <v>0.43611111111111112</v>
      </c>
      <c r="G38" s="19">
        <v>0.45763888888888887</v>
      </c>
      <c r="H38" s="2">
        <v>0.45763888888888887</v>
      </c>
      <c r="I38" s="2"/>
      <c r="J38" s="6"/>
      <c r="K38" s="2"/>
    </row>
    <row r="39" spans="1:11" ht="15" thickBot="1" x14ac:dyDescent="0.35">
      <c r="A39" s="31"/>
      <c r="B39" s="24"/>
      <c r="C39" s="1">
        <v>30</v>
      </c>
      <c r="D39" s="2">
        <v>0.45763888888888887</v>
      </c>
      <c r="E39" s="2">
        <f t="shared" si="0"/>
        <v>2.7777777777777679E-3</v>
      </c>
      <c r="F39" s="19">
        <v>0.46041666666666664</v>
      </c>
      <c r="G39" s="19">
        <v>0.48194444444444445</v>
      </c>
      <c r="H39" s="2">
        <v>0.48194444444444445</v>
      </c>
      <c r="I39" s="2"/>
      <c r="J39" s="6"/>
      <c r="K39" s="2"/>
    </row>
    <row r="40" spans="1:11" ht="15" thickBot="1" x14ac:dyDescent="0.35">
      <c r="A40" s="31"/>
      <c r="B40" s="24"/>
      <c r="C40" s="1">
        <v>29</v>
      </c>
      <c r="D40" s="2">
        <v>0.48194444444444445</v>
      </c>
      <c r="E40" s="2">
        <f t="shared" si="0"/>
        <v>2.7777777777777679E-3</v>
      </c>
      <c r="F40" s="19">
        <v>0.48472222222222222</v>
      </c>
      <c r="G40" s="19">
        <v>0.50624999999999998</v>
      </c>
      <c r="H40" s="2">
        <v>0.50624999999999998</v>
      </c>
      <c r="I40" s="2"/>
      <c r="J40" s="6"/>
      <c r="K40" s="2"/>
    </row>
    <row r="41" spans="1:11" ht="15" thickBot="1" x14ac:dyDescent="0.35">
      <c r="A41" s="31"/>
      <c r="B41" s="24"/>
      <c r="C41" s="1">
        <v>23</v>
      </c>
      <c r="D41" s="2">
        <v>0.50624999999999998</v>
      </c>
      <c r="E41" s="2">
        <f t="shared" si="0"/>
        <v>7.3611111111111183E-2</v>
      </c>
      <c r="F41" s="19">
        <v>0.57986111111111116</v>
      </c>
      <c r="G41" s="19">
        <v>0.6166666666666667</v>
      </c>
      <c r="H41" s="2">
        <v>0.6166666666666667</v>
      </c>
      <c r="I41" s="2"/>
      <c r="J41" s="6"/>
      <c r="K41" s="2"/>
    </row>
    <row r="42" spans="1:11" ht="15" thickBot="1" x14ac:dyDescent="0.35">
      <c r="A42" s="32"/>
      <c r="B42" s="25"/>
      <c r="C42" s="5">
        <v>24</v>
      </c>
      <c r="D42" s="6">
        <v>0.6166666666666667</v>
      </c>
      <c r="E42" s="2">
        <f t="shared" si="0"/>
        <v>1.388888888888884E-3</v>
      </c>
      <c r="F42" s="20">
        <v>0.61805555555555558</v>
      </c>
      <c r="G42" s="20">
        <v>0.64236111111111116</v>
      </c>
      <c r="H42" s="6">
        <v>0.64236111111111116</v>
      </c>
      <c r="I42" s="6">
        <v>0.70833333333333337</v>
      </c>
      <c r="J42" s="6">
        <f>I42-H42</f>
        <v>6.597222222222221E-2</v>
      </c>
      <c r="K42" s="6" t="s">
        <v>10</v>
      </c>
    </row>
    <row r="43" spans="1:11" ht="15" thickBot="1" x14ac:dyDescent="0.35">
      <c r="A43" s="30">
        <v>46187</v>
      </c>
      <c r="B43" s="24"/>
      <c r="C43" s="3">
        <v>25</v>
      </c>
      <c r="D43" s="4">
        <v>0.33333333333333331</v>
      </c>
      <c r="E43" s="2">
        <f t="shared" si="0"/>
        <v>1.8055555555555547E-2</v>
      </c>
      <c r="F43" s="18">
        <v>0.35138888888888886</v>
      </c>
      <c r="G43" s="18">
        <v>0.37638888888888888</v>
      </c>
      <c r="H43" s="4">
        <v>0.37638888888888888</v>
      </c>
      <c r="I43" s="4"/>
      <c r="J43" s="6"/>
      <c r="K43" s="4"/>
    </row>
    <row r="44" spans="1:11" ht="15" thickBot="1" x14ac:dyDescent="0.35">
      <c r="A44" s="31"/>
      <c r="B44" s="24"/>
      <c r="C44" s="1">
        <v>26</v>
      </c>
      <c r="D44" s="2">
        <v>0.37638888888888888</v>
      </c>
      <c r="E44" s="2">
        <f t="shared" si="0"/>
        <v>2.0833333333333259E-3</v>
      </c>
      <c r="F44" s="19">
        <v>0.37847222222222221</v>
      </c>
      <c r="G44" s="19">
        <v>0.40555555555555556</v>
      </c>
      <c r="H44" s="2">
        <v>0.40555555555555556</v>
      </c>
      <c r="I44" s="2"/>
      <c r="J44" s="6"/>
      <c r="K44" s="2"/>
    </row>
    <row r="45" spans="1:11" ht="15" thickBot="1" x14ac:dyDescent="0.35">
      <c r="A45" s="31"/>
      <c r="B45" s="24"/>
      <c r="C45" s="1">
        <v>28</v>
      </c>
      <c r="D45" s="2">
        <v>0.40555555555555556</v>
      </c>
      <c r="E45" s="2">
        <f t="shared" si="0"/>
        <v>2.6388888888888906E-2</v>
      </c>
      <c r="F45" s="19">
        <v>0.43194444444444446</v>
      </c>
      <c r="G45" s="19">
        <v>0.46388888888888891</v>
      </c>
      <c r="H45" s="2">
        <v>0.46388888888888891</v>
      </c>
      <c r="I45" s="2"/>
      <c r="J45" s="6"/>
      <c r="K45" s="2"/>
    </row>
    <row r="46" spans="1:11" ht="15" thickBot="1" x14ac:dyDescent="0.35">
      <c r="A46" s="31"/>
      <c r="B46" s="24"/>
      <c r="C46" s="1">
        <v>11</v>
      </c>
      <c r="D46" s="2">
        <v>0.46388888888888891</v>
      </c>
      <c r="E46" s="2">
        <f t="shared" si="0"/>
        <v>4.8611111111110938E-3</v>
      </c>
      <c r="F46" s="19">
        <v>0.46875</v>
      </c>
      <c r="G46" s="19">
        <v>0.49027777777777776</v>
      </c>
      <c r="H46" s="2">
        <v>0.49027777777777776</v>
      </c>
      <c r="I46" s="2"/>
      <c r="J46" s="6"/>
      <c r="K46" s="2"/>
    </row>
    <row r="47" spans="1:11" ht="15" thickBot="1" x14ac:dyDescent="0.35">
      <c r="A47" s="31"/>
      <c r="B47" s="24"/>
      <c r="C47" s="1">
        <v>12</v>
      </c>
      <c r="D47" s="2">
        <v>0.49027777777777776</v>
      </c>
      <c r="E47" s="2">
        <f t="shared" si="0"/>
        <v>2.0833333333333814E-3</v>
      </c>
      <c r="F47" s="19">
        <v>0.49236111111111114</v>
      </c>
      <c r="G47" s="19">
        <v>0.51527777777777772</v>
      </c>
      <c r="H47" s="2">
        <v>0.51527777777777772</v>
      </c>
      <c r="I47" s="2"/>
      <c r="J47" s="6"/>
      <c r="K47" s="2"/>
    </row>
    <row r="48" spans="1:11" ht="15" thickBot="1" x14ac:dyDescent="0.35">
      <c r="A48" s="31"/>
      <c r="B48" s="24"/>
      <c r="C48" s="1">
        <v>13</v>
      </c>
      <c r="D48" s="2">
        <v>0.51527777777777772</v>
      </c>
      <c r="E48" s="2">
        <f t="shared" si="0"/>
        <v>2.7777777777778789E-3</v>
      </c>
      <c r="F48" s="19">
        <v>0.5180555555555556</v>
      </c>
      <c r="G48" s="19">
        <v>0.5395833333333333</v>
      </c>
      <c r="H48" s="2">
        <v>0.5395833333333333</v>
      </c>
      <c r="I48" s="2"/>
      <c r="J48" s="6"/>
      <c r="K48" s="2"/>
    </row>
    <row r="49" spans="1:11" ht="15" thickBot="1" x14ac:dyDescent="0.35">
      <c r="A49" s="31"/>
      <c r="B49" s="24"/>
      <c r="C49" s="1">
        <v>14</v>
      </c>
      <c r="D49" s="2">
        <v>0.5395833333333333</v>
      </c>
      <c r="E49" s="2">
        <f t="shared" si="0"/>
        <v>5.0000000000000044E-2</v>
      </c>
      <c r="F49" s="19">
        <v>0.58958333333333335</v>
      </c>
      <c r="G49" s="19">
        <v>0.61041666666666672</v>
      </c>
      <c r="H49" s="2">
        <v>0.61041666666666672</v>
      </c>
      <c r="I49" s="2"/>
      <c r="J49" s="6"/>
      <c r="K49" s="2"/>
    </row>
    <row r="50" spans="1:11" ht="15" thickBot="1" x14ac:dyDescent="0.35">
      <c r="A50" s="31"/>
      <c r="B50" s="24"/>
      <c r="C50" s="1">
        <v>15</v>
      </c>
      <c r="D50" s="2">
        <v>0.61041666666666672</v>
      </c>
      <c r="E50" s="2">
        <f t="shared" si="0"/>
        <v>2.0833333333333259E-3</v>
      </c>
      <c r="F50" s="19">
        <v>0.61250000000000004</v>
      </c>
      <c r="G50" s="19">
        <v>0.63402777777777775</v>
      </c>
      <c r="H50" s="2">
        <v>0.63402777777777775</v>
      </c>
      <c r="I50" s="2"/>
      <c r="J50" s="6"/>
      <c r="K50" s="2"/>
    </row>
    <row r="51" spans="1:11" ht="15" thickBot="1" x14ac:dyDescent="0.35">
      <c r="A51" s="32"/>
      <c r="B51" s="25"/>
      <c r="C51" s="5">
        <v>16</v>
      </c>
      <c r="D51" s="6">
        <v>0.63402777777777775</v>
      </c>
      <c r="E51" s="2">
        <f t="shared" si="0"/>
        <v>2.7777777777777679E-3</v>
      </c>
      <c r="F51" s="20">
        <v>0.63680555555555551</v>
      </c>
      <c r="G51" s="20">
        <v>0.65833333333333333</v>
      </c>
      <c r="H51" s="6">
        <v>0.65833333333333333</v>
      </c>
      <c r="I51" s="6">
        <v>0.70833333333333337</v>
      </c>
      <c r="J51" s="6">
        <f>I51-H51</f>
        <v>5.0000000000000044E-2</v>
      </c>
      <c r="K51" s="6" t="s">
        <v>10</v>
      </c>
    </row>
    <row r="52" spans="1:11" ht="15" thickBot="1" x14ac:dyDescent="0.35">
      <c r="A52" s="30">
        <v>46188</v>
      </c>
      <c r="B52" s="24"/>
      <c r="C52" s="3">
        <v>9</v>
      </c>
      <c r="D52" s="4">
        <v>0.33333333333333331</v>
      </c>
      <c r="E52" s="2">
        <f t="shared" si="0"/>
        <v>4.0277777777777801E-2</v>
      </c>
      <c r="F52" s="18">
        <v>0.37361111111111112</v>
      </c>
      <c r="G52" s="18">
        <v>0.39791666666666664</v>
      </c>
      <c r="H52" s="4">
        <v>0.39791666666666664</v>
      </c>
      <c r="I52" s="4"/>
      <c r="J52" s="6"/>
      <c r="K52" s="4" t="s">
        <v>14</v>
      </c>
    </row>
    <row r="53" spans="1:11" ht="15" thickBot="1" x14ac:dyDescent="0.35">
      <c r="A53" s="31"/>
      <c r="B53" s="24"/>
      <c r="C53" s="1">
        <v>8</v>
      </c>
      <c r="D53" s="2">
        <v>0.39791666666666664</v>
      </c>
      <c r="E53" s="2">
        <f t="shared" si="0"/>
        <v>2.7777777777778234E-3</v>
      </c>
      <c r="F53" s="19">
        <v>0.40069444444444446</v>
      </c>
      <c r="G53" s="19">
        <v>0.42291666666666666</v>
      </c>
      <c r="H53" s="2">
        <v>0.42291666666666666</v>
      </c>
      <c r="I53" s="2"/>
      <c r="J53" s="6"/>
      <c r="K53" s="2"/>
    </row>
    <row r="54" spans="1:11" ht="15" thickBot="1" x14ac:dyDescent="0.35">
      <c r="A54" s="31"/>
      <c r="B54" s="24"/>
      <c r="C54" s="1">
        <v>6</v>
      </c>
      <c r="D54" s="2">
        <v>0.42291666666666666</v>
      </c>
      <c r="E54" s="2">
        <f t="shared" si="0"/>
        <v>2.7777777777777679E-3</v>
      </c>
      <c r="F54" s="19">
        <v>0.42569444444444443</v>
      </c>
      <c r="G54" s="19">
        <v>0.44722222222222224</v>
      </c>
      <c r="H54" s="2">
        <v>0.44722222222222224</v>
      </c>
      <c r="I54" s="2"/>
      <c r="J54" s="6"/>
      <c r="K54" s="2"/>
    </row>
    <row r="55" spans="1:11" ht="15" thickBot="1" x14ac:dyDescent="0.35">
      <c r="A55" s="31"/>
      <c r="B55" s="24"/>
      <c r="C55" s="1">
        <v>21</v>
      </c>
      <c r="D55" s="2">
        <v>0.44722222222222224</v>
      </c>
      <c r="E55" s="2">
        <f t="shared" si="0"/>
        <v>6.2499999999999778E-3</v>
      </c>
      <c r="F55" s="19">
        <v>0.45347222222222222</v>
      </c>
      <c r="G55" s="19">
        <v>0.51041666666666663</v>
      </c>
      <c r="H55" s="2">
        <v>0.51041666666666663</v>
      </c>
      <c r="I55" s="2"/>
      <c r="J55" s="6"/>
      <c r="K55" s="2"/>
    </row>
    <row r="56" spans="1:11" ht="15" thickBot="1" x14ac:dyDescent="0.35">
      <c r="A56" s="31"/>
      <c r="B56" s="24"/>
      <c r="C56" s="1">
        <v>20</v>
      </c>
      <c r="D56" s="2">
        <v>0.51041666666666663</v>
      </c>
      <c r="E56" s="2">
        <f t="shared" si="0"/>
        <v>4.8611111111110938E-3</v>
      </c>
      <c r="F56" s="19">
        <v>0.51527777777777772</v>
      </c>
      <c r="G56" s="19">
        <v>0.53611111111111109</v>
      </c>
      <c r="H56" s="2">
        <v>0.53611111111111109</v>
      </c>
      <c r="I56" s="2"/>
      <c r="J56" s="6"/>
      <c r="K56" s="2"/>
    </row>
    <row r="57" spans="1:11" ht="15" thickBot="1" x14ac:dyDescent="0.35">
      <c r="A57" s="31"/>
      <c r="B57" s="24"/>
      <c r="C57" s="1">
        <v>19</v>
      </c>
      <c r="D57" s="2">
        <v>0.53611111111111109</v>
      </c>
      <c r="E57" s="2">
        <f t="shared" si="0"/>
        <v>2.7777777777777679E-3</v>
      </c>
      <c r="F57" s="19">
        <v>0.53888888888888886</v>
      </c>
      <c r="G57" s="19">
        <v>0.56041666666666667</v>
      </c>
      <c r="H57" s="2">
        <v>0.56041666666666667</v>
      </c>
      <c r="I57" s="2"/>
      <c r="J57" s="6"/>
      <c r="K57" s="2"/>
    </row>
    <row r="58" spans="1:11" ht="15" thickBot="1" x14ac:dyDescent="0.35">
      <c r="A58" s="31"/>
      <c r="B58" s="24"/>
      <c r="C58" s="1">
        <v>18</v>
      </c>
      <c r="D58" s="2">
        <v>0.56041666666666667</v>
      </c>
      <c r="E58" s="2">
        <f t="shared" si="0"/>
        <v>3.4722222222222099E-3</v>
      </c>
      <c r="F58" s="19">
        <v>0.56388888888888888</v>
      </c>
      <c r="G58" s="19">
        <v>0.58472222222222225</v>
      </c>
      <c r="H58" s="2">
        <v>0.58472222222222225</v>
      </c>
      <c r="I58" s="2"/>
      <c r="J58" s="6"/>
      <c r="K58" s="2"/>
    </row>
    <row r="59" spans="1:11" ht="15" thickBot="1" x14ac:dyDescent="0.35">
      <c r="A59" s="31"/>
      <c r="B59" s="24"/>
      <c r="C59" s="1">
        <v>17</v>
      </c>
      <c r="D59" s="2">
        <v>0.58472222222222225</v>
      </c>
      <c r="E59" s="2">
        <f t="shared" si="0"/>
        <v>2.7777777777777679E-3</v>
      </c>
      <c r="F59" s="19">
        <v>0.58750000000000002</v>
      </c>
      <c r="G59" s="19">
        <v>0.60902777777777772</v>
      </c>
      <c r="H59" s="2">
        <v>0.60902777777777772</v>
      </c>
      <c r="I59" s="2"/>
      <c r="J59" s="6"/>
      <c r="K59" s="2"/>
    </row>
    <row r="60" spans="1:11" ht="15" thickBot="1" x14ac:dyDescent="0.35">
      <c r="A60" s="32"/>
      <c r="B60" s="25"/>
      <c r="C60" s="5">
        <v>27</v>
      </c>
      <c r="D60" s="6">
        <v>0.60902777777777772</v>
      </c>
      <c r="E60" s="2">
        <f t="shared" si="0"/>
        <v>4.8611111111112049E-3</v>
      </c>
      <c r="F60" s="20">
        <v>0.61388888888888893</v>
      </c>
      <c r="G60" s="20">
        <v>0.63611111111111107</v>
      </c>
      <c r="H60" s="6">
        <v>0.63611111111111107</v>
      </c>
      <c r="I60" s="6">
        <v>0.70833333333333337</v>
      </c>
      <c r="J60" s="6">
        <f>I60-H60</f>
        <v>7.2222222222222299E-2</v>
      </c>
      <c r="K60" s="6" t="s">
        <v>10</v>
      </c>
    </row>
    <row r="61" spans="1:11" ht="15" thickBot="1" x14ac:dyDescent="0.35">
      <c r="A61" s="30">
        <v>46189</v>
      </c>
      <c r="B61" s="24"/>
      <c r="C61" s="3">
        <v>1</v>
      </c>
      <c r="D61" s="4">
        <v>0.33333333333333331</v>
      </c>
      <c r="E61" s="2">
        <f t="shared" si="0"/>
        <v>2.9861111111111116E-2</v>
      </c>
      <c r="F61" s="18">
        <v>0.36319444444444443</v>
      </c>
      <c r="G61" s="18">
        <v>0.41666666666666669</v>
      </c>
      <c r="H61" s="4">
        <v>0.41666666666666669</v>
      </c>
      <c r="I61" s="4"/>
      <c r="J61" s="6"/>
      <c r="K61" s="4"/>
    </row>
    <row r="62" spans="1:11" ht="15" thickBot="1" x14ac:dyDescent="0.35">
      <c r="A62" s="32"/>
      <c r="B62" s="25"/>
      <c r="C62" s="5">
        <v>2</v>
      </c>
      <c r="D62" s="6">
        <v>0.41666666666666669</v>
      </c>
      <c r="E62" s="2">
        <f t="shared" si="0"/>
        <v>4.8611111111110938E-3</v>
      </c>
      <c r="F62" s="20">
        <v>0.42152777777777778</v>
      </c>
      <c r="G62" s="20">
        <v>0.47291666666666665</v>
      </c>
      <c r="H62" s="6">
        <v>0.47291666666666665</v>
      </c>
      <c r="I62" s="6">
        <v>0.70833333333333337</v>
      </c>
      <c r="J62" s="6">
        <f>I62-H62</f>
        <v>0.23541666666666672</v>
      </c>
      <c r="K62" s="6" t="s">
        <v>8</v>
      </c>
    </row>
  </sheetData>
  <mergeCells count="11">
    <mergeCell ref="C1:D1"/>
    <mergeCell ref="B5:B12"/>
    <mergeCell ref="B13:B21"/>
    <mergeCell ref="A52:A60"/>
    <mergeCell ref="A61:A62"/>
    <mergeCell ref="A5:A12"/>
    <mergeCell ref="A13:A21"/>
    <mergeCell ref="A23:A24"/>
    <mergeCell ref="A25:A34"/>
    <mergeCell ref="A35:A42"/>
    <mergeCell ref="A43:A5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Parque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Caballero</dc:creator>
  <cp:lastModifiedBy>Felipe Ignacio Arriagada Cornejo</cp:lastModifiedBy>
  <dcterms:created xsi:type="dcterms:W3CDTF">2026-06-22T15:01:20Z</dcterms:created>
  <dcterms:modified xsi:type="dcterms:W3CDTF">2026-07-01T17:36:33Z</dcterms:modified>
</cp:coreProperties>
</file>